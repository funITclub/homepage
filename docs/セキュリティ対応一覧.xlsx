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対応一覧" sheetId="2" state="visible" r:id="rId2"/>
    <sheet name="見送り・残存リスク" sheetId="3" state="visible" r:id="rId3"/>
    <sheet name="確認済み（問題なし）" sheetId="4" state="visible" r:id="rId4"/>
  </sheets>
  <definedNames>
    <definedName name="_xlnm._FilterDatabase" localSheetId="1" hidden="1">'対応一覧'!$A$1:$H$35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A15C00"/>
      <sz val="10"/>
    </font>
    <font>
      <name val="Meiryo"/>
      <b val="1"/>
      <color rgb="001B6E2E"/>
      <sz val="10"/>
    </font>
    <font>
      <name val="Meiryo"/>
      <b val="1"/>
      <color rgb="00001E3C"/>
      <sz val="14"/>
    </font>
    <font>
      <name val="Meiryo"/>
      <color rgb="0044607A"/>
      <sz val="10"/>
    </font>
    <font>
      <name val="Meiryo"/>
      <b val="1"/>
      <sz val="10"/>
    </font>
    <font>
      <name val="Meiryo"/>
      <b val="1"/>
      <color rgb="00001E3C"/>
      <sz val="11"/>
    </font>
  </fonts>
  <fills count="5">
    <fill>
      <patternFill/>
    </fill>
    <fill>
      <patternFill patternType="gray125"/>
    </fill>
    <fill>
      <patternFill patternType="solid">
        <fgColor rgb="00001E3C"/>
      </patternFill>
    </fill>
    <fill>
      <patternFill patternType="solid">
        <fgColor rgb="00F2F5F8"/>
      </patternFill>
    </fill>
    <fill>
      <patternFill patternType="solid">
        <fgColor rgb="00003060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fun IT club 公開サイト セキュリティ対応一覧</t>
        </is>
      </c>
      <c r="B1" s="2" t="n"/>
    </row>
    <row r="2">
      <c r="A2" s="3" t="inlineStr">
        <is>
          <t>参加申し込みフォームの追加にあたって洗い出したリスクと、その対応状況。2026-10-21 に、WG への参加・Classroom への招待・サブアプリの分を足した</t>
        </is>
      </c>
      <c r="B2" s="2" t="n"/>
    </row>
    <row r="3">
      <c r="A3" s="2" t="n"/>
      <c r="B3" s="2" t="n"/>
    </row>
    <row r="4">
      <c r="A4" s="4" t="inlineStr">
        <is>
          <t>作成日</t>
        </is>
      </c>
      <c r="B4" s="5" t="inlineStr">
        <is>
          <t>2026-08-20（2026-10-21 更新）</t>
        </is>
      </c>
    </row>
    <row r="5">
      <c r="A5" s="4" t="inlineStr">
        <is>
          <t>対象</t>
        </is>
      </c>
      <c r="B5" s="5" t="inlineStr">
        <is>
          <t>funitclub.org（Django / Azure App Service）</t>
        </is>
      </c>
    </row>
    <row r="6">
      <c r="A6" s="4" t="inlineStr">
        <is>
          <t>対象範囲</t>
        </is>
      </c>
      <c r="B6" s="5" t="inlineStr">
        <is>
          <t>参加申し込みフォーム、メール送信経路、管理者情報の取り扱い、WG への参加（Classroom・Chat・GitHub）、サブアプリ（countdown・fe・WG の取り込み）、デプロイの権限</t>
        </is>
      </c>
    </row>
    <row r="7">
      <c r="A7" s="4" t="inlineStr">
        <is>
          <t>出典</t>
        </is>
      </c>
      <c r="B7" s="5" t="inlineStr">
        <is>
          <t>本レビューでの指摘と、実施済みの変更（コミット 2021934〜84e0fb3）。No.20 以降は 2026-10-21 時点の実装（README・deploy.txt）から</t>
        </is>
      </c>
    </row>
    <row r="8">
      <c r="A8" s="2" t="n"/>
      <c r="B8" s="2" t="n"/>
    </row>
    <row r="9">
      <c r="A9" s="6" t="inlineStr">
        <is>
          <t>対応状況の集計</t>
        </is>
      </c>
      <c r="B9" s="2" t="n"/>
    </row>
    <row r="10" ht="32" customHeight="1">
      <c r="A10" s="7" t="inlineStr">
        <is>
          <t>区分</t>
        </is>
      </c>
      <c r="B10" s="7" t="inlineStr">
        <is>
          <t>件数</t>
        </is>
      </c>
    </row>
    <row r="11">
      <c r="A11" s="8" t="inlineStr">
        <is>
          <t>対応済</t>
        </is>
      </c>
      <c r="B11" s="9">
        <f>COUNTIF(対応一覧!$E$2:$E$200,A11)</f>
        <v/>
      </c>
    </row>
    <row r="12">
      <c r="A12" s="8" t="inlineStr">
        <is>
          <t>一部対応</t>
        </is>
      </c>
      <c r="B12" s="9">
        <f>COUNTIF(対応一覧!$E$2:$E$200,A12)</f>
        <v/>
      </c>
    </row>
    <row r="13">
      <c r="A13" s="8" t="inlineStr">
        <is>
          <t>合計（対応一覧）</t>
        </is>
      </c>
      <c r="B13" s="9">
        <f>COUNTA(対応一覧!$A$2:$A$200)</f>
        <v/>
      </c>
    </row>
    <row r="14">
      <c r="A14" s="8" t="inlineStr">
        <is>
          <t>見送り・保留・許容</t>
        </is>
      </c>
      <c r="B14" s="9">
        <f>COUNTA('見送り・残存リスク'!$A$2:$A$200)</f>
        <v/>
      </c>
    </row>
    <row r="15">
      <c r="A15" s="8" t="inlineStr">
        <is>
          <t>確認のみ（問題なし）</t>
        </is>
      </c>
      <c r="B15" s="9">
        <f>COUNTA('確認済み（問題なし）'!$A$2:$A$200)</f>
        <v/>
      </c>
    </row>
    <row r="16">
      <c r="A16" s="2" t="n"/>
      <c r="B16" s="2" t="n"/>
    </row>
    <row r="17">
      <c r="A17" s="6" t="inlineStr">
        <is>
          <t>注記</t>
        </is>
      </c>
      <c r="B17" s="2" t="n"/>
    </row>
    <row r="18">
      <c r="A18" s="5" t="inlineStr">
        <is>
          <t>・件数は各シートを参照する数式で算出しており、行を追加すれば自動で反映される。</t>
        </is>
      </c>
      <c r="B18" s="2" t="n"/>
    </row>
    <row r="19">
      <c r="A19" s="5" t="inlineStr">
        <is>
          <t>・「一部対応」は、被害を軽減したが原因そのものは残っている項目を指す。</t>
        </is>
      </c>
      <c r="B19" s="2" t="n"/>
    </row>
    <row r="20">
      <c r="A20" s="5" t="inlineStr">
        <is>
          <t>・シート「見送り・残存リスク」には、意図的に対応しなかった項目とその理由を記載。</t>
        </is>
      </c>
      <c r="B20" s="2" t="n"/>
    </row>
    <row r="21">
      <c r="A21" s="5" t="inlineStr">
        <is>
          <t>・遮断の閾値や期間などの具体値は、公開ページには掲示していない（悪用を避けるため）。</t>
        </is>
      </c>
      <c r="B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4" customWidth="1" min="4" max="4"/>
    <col width="9" customWidth="1" min="5" max="5"/>
    <col width="44" customWidth="1" min="6" max="6"/>
    <col width="26" customWidth="1" min="7" max="7"/>
    <col width="38" customWidth="1" min="8" max="8"/>
  </cols>
  <sheetData>
    <row r="1" ht="32" customHeight="1">
      <c r="A1" s="7" t="inlineStr">
        <is>
          <t>No</t>
        </is>
      </c>
      <c r="B1" s="7" t="inlineStr">
        <is>
          <t>分類</t>
        </is>
      </c>
      <c r="C1" s="7" t="inlineStr">
        <is>
          <t>指摘したリスク</t>
        </is>
      </c>
      <c r="D1" s="7" t="inlineStr">
        <is>
          <t>想定される被害</t>
        </is>
      </c>
      <c r="E1" s="7" t="inlineStr">
        <is>
          <t>対応状況</t>
        </is>
      </c>
      <c r="F1" s="7" t="inlineStr">
        <is>
          <t>実施した対策</t>
        </is>
      </c>
      <c r="G1" s="7" t="inlineStr">
        <is>
          <t>実装箇所</t>
        </is>
      </c>
      <c r="H1" s="7" t="inlineStr">
        <is>
          <t>残存リスク・備考</t>
        </is>
      </c>
    </row>
    <row r="2">
      <c r="A2" s="10" t="n">
        <v>1</v>
      </c>
      <c r="B2" s="11" t="inlineStr">
        <is>
          <t>フォーム悪用</t>
        </is>
      </c>
      <c r="C2" s="11" t="inlineStr">
        <is>
          <t>なりすまし申し込み（入力アドレスの本人確認をしていない）</t>
        </is>
      </c>
      <c r="D2" s="11" t="inlineStr">
        <is>
          <t>第三者のアドレスで申し込まれ、本人と事務局が混乱する</t>
        </is>
      </c>
      <c r="E2" s="12" t="inlineStr">
        <is>
          <t>一部対応</t>
        </is>
      </c>
      <c r="F2" s="11" t="inlineStr">
        <is>
          <t>自動返信に「心当たりがない場合」の案内を入れ、破棄すれば手続きが進まないと明記。2026-10-20 から、クラスに招待できたときは自動返信を送らない（届くのは Google の招待だけ）</t>
        </is>
      </c>
      <c r="G2" s="11" t="inlineStr">
        <is>
          <t>home/forms.py</t>
        </is>
      </c>
      <c r="H2" s="11" t="inlineStr">
        <is>
          <t>本人確認そのものは未実施（確認リンク方式は手間が増えるため見送り）。他人のアドレスでも、本人が Classroom で「参加」を押さない限りクラスには入らない</t>
        </is>
      </c>
    </row>
    <row r="3">
      <c r="A3" s="13" t="n">
        <v>2</v>
      </c>
      <c r="B3" s="14" t="inlineStr">
        <is>
          <t>フォーム悪用</t>
        </is>
      </c>
      <c r="C3" s="14" t="inlineStr">
        <is>
          <t>自動返信を使った踏み台化（任意の本文を第三者へ届けられる）</t>
        </is>
      </c>
      <c r="D3" s="14" t="inlineStr">
        <is>
          <t>SPF/DKIM が通った正規ドメインからフィッシング文面を配送される</t>
        </is>
      </c>
      <c r="E3" s="15" t="inlineStr">
        <is>
          <t>対応済</t>
        </is>
      </c>
      <c r="F3" s="14" t="inlineStr">
        <is>
          <t>自由記述（メッセージ欄）を廃止。フォーム項目を固定するテストで復活を防止。2026-10-20 に氏名欄・興味のある WG の欄もなくし、入力はメールアドレスだけにした</t>
        </is>
      </c>
      <c r="G3" s="14" t="inlineStr">
        <is>
          <t>home/forms.py / home/tests.py</t>
        </is>
      </c>
      <c r="H3" s="14" t="inlineStr">
        <is>
          <t>—（攻撃者が自動返信に載せられる文字は無くなった）</t>
        </is>
      </c>
    </row>
    <row r="4">
      <c r="A4" s="10" t="n">
        <v>3</v>
      </c>
      <c r="B4" s="11" t="inlineStr">
        <is>
          <t>フォーム悪用</t>
        </is>
      </c>
      <c r="C4" s="11" t="inlineStr">
        <is>
          <t>氏名欄に短縮URLを入れられる</t>
        </is>
      </c>
      <c r="D4" s="11" t="inlineStr">
        <is>
          <t>30文字でもリンクを第三者に届けられる</t>
        </is>
      </c>
      <c r="E4" s="16" t="inlineStr">
        <is>
          <t>対応済</t>
        </is>
      </c>
      <c r="F4" s="11" t="inlineStr">
        <is>
          <t>http / www. / :// を含む氏名を拒否 → 2026-10-20 に氏名欄そのものを廃止</t>
        </is>
      </c>
      <c r="G4" s="11" t="inlineStr">
        <is>
          <t>home/forms.py</t>
        </is>
      </c>
      <c r="H4" s="11" t="inlineStr">
        <is>
          <t>氏名欄が無くなったため、対策ごと不要になった</t>
        </is>
      </c>
    </row>
    <row r="5">
      <c r="A5" s="13" t="n">
        <v>4</v>
      </c>
      <c r="B5" s="14" t="inlineStr">
        <is>
          <t>フォーム悪用</t>
        </is>
      </c>
      <c r="C5" s="14" t="inlineStr">
        <is>
          <t>レート制限が無い</t>
        </is>
      </c>
      <c r="D5" s="14" t="inlineStr">
        <is>
          <t>メール爆撃、ACS の課金増、大量送信によるドメイン評判の低下</t>
        </is>
      </c>
      <c r="E5" s="15" t="inlineStr">
        <is>
          <t>対応済</t>
        </is>
      </c>
      <c r="F5" s="14" t="inlineStr">
        <is>
          <t>同一IPで10分に3件／1時間に10件を超えたら遮断</t>
        </is>
      </c>
      <c r="G5" s="14" t="inlineStr">
        <is>
          <t>config/settings_common.py JOIN_BURST_RULES</t>
        </is>
      </c>
      <c r="H5" s="14" t="inlineStr">
        <is>
          <t>閾値は非公開。IPを変えられると回避される</t>
        </is>
      </c>
    </row>
    <row r="6">
      <c r="A6" s="10" t="n">
        <v>5</v>
      </c>
      <c r="B6" s="11" t="inlineStr">
        <is>
          <t>アクセス制御</t>
        </is>
      </c>
      <c r="C6" s="11" t="inlineStr">
        <is>
          <t>IP遮断の誤爆（共有IPの巻き添え）</t>
        </is>
      </c>
      <c r="D6" s="11" t="inlineStr">
        <is>
          <t>大学構内やCGNATで、無関係な人が締め出される</t>
        </is>
      </c>
      <c r="E6" s="16" t="inlineStr">
        <is>
          <t>対応済</t>
        </is>
      </c>
      <c r="F6" s="11" t="inlineStr">
        <is>
          <t>24時間→7日→恒久のエスカレーション。403に連絡先を表示。IP_BLOCK_EXEMPT / IP_BLOCK_ENABLED で復旧可能。DB障害時は通す（fail open）</t>
        </is>
      </c>
      <c r="G6" s="11" t="inlineStr">
        <is>
          <t>home/models.py / config/middleware.py</t>
        </is>
      </c>
      <c r="H6" s="11" t="inlineStr">
        <is>
          <t>巻き添え自体はゼロにならない。定期的な見直しが必要</t>
        </is>
      </c>
    </row>
    <row r="7">
      <c r="A7" s="13" t="n">
        <v>6</v>
      </c>
      <c r="B7" s="14" t="inlineStr">
        <is>
          <t>アクセス制御</t>
        </is>
      </c>
      <c r="C7" s="14" t="inlineStr">
        <is>
          <t>X-Forwarded-For の詐称で第三者を遮断させられる</t>
        </is>
      </c>
      <c r="D7" s="14" t="inlineStr">
        <is>
          <t>攻撃者が他人のIPを名乗り、無関係な人を締め出せる</t>
        </is>
      </c>
      <c r="E7" s="15" t="inlineStr">
        <is>
          <t>対応済</t>
        </is>
      </c>
      <c r="F7" s="14" t="inlineStr">
        <is>
          <t>XFF の右端（Azure の front end が付けた値）を採用</t>
        </is>
      </c>
      <c r="G7" s="14" t="inlineStr">
        <is>
          <t>home/netutils.py</t>
        </is>
      </c>
      <c r="H7" s="14" t="inlineStr">
        <is>
          <t>App Service の front end を迂回する経路があれば前提が崩れる</t>
        </is>
      </c>
    </row>
    <row r="8">
      <c r="A8" s="10" t="n">
        <v>7</v>
      </c>
      <c r="B8" s="11" t="inlineStr">
        <is>
          <t>メール</t>
        </is>
      </c>
      <c r="C8" s="11" t="inlineStr">
        <is>
          <t>ヘッダインジェクション（改行入りの入力）</t>
        </is>
      </c>
      <c r="D8" s="11" t="inlineStr">
        <is>
          <t>500エラーになり、意図的なエラー誘発でログが汚れる</t>
        </is>
      </c>
      <c r="E8" s="16" t="inlineStr">
        <is>
          <t>対応済</t>
        </is>
      </c>
      <c r="F8" s="11" t="inlineStr">
        <is>
          <t>BadHeaderError を捕捉し、フォームにエラーを表示</t>
        </is>
      </c>
      <c r="G8" s="11" t="inlineStr">
        <is>
          <t>home/views.py</t>
        </is>
      </c>
      <c r="H8" s="11" t="inlineStr">
        <is>
          <t>インジェクション自体は元から Django が阻止している。氏名欄の廃止後は、メールアドレス欄（EmailField の検証あり）だけが対象</t>
        </is>
      </c>
    </row>
    <row r="9">
      <c r="A9" s="13" t="n">
        <v>8</v>
      </c>
      <c r="B9" s="14" t="inlineStr">
        <is>
          <t>個人情報</t>
        </is>
      </c>
      <c r="C9" s="14" t="inlineStr">
        <is>
          <t>ログに申込者のメールアドレスが残る</t>
        </is>
      </c>
      <c r="D9" s="14" t="inlineStr">
        <is>
          <t>ログの閲覧権限を持つ全員に個人情報が見える</t>
        </is>
      </c>
      <c r="E9" s="15" t="inlineStr">
        <is>
          <t>対応済</t>
        </is>
      </c>
      <c r="F9" s="14" t="inlineStr">
        <is>
          <t>ログ出力からメールアドレスを削除（テストで固定）</t>
        </is>
      </c>
      <c r="G9" s="14" t="inlineStr">
        <is>
          <t>home/views.py</t>
        </is>
      </c>
      <c r="H9" s="14" t="inlineStr">
        <is>
          <t>遮断ログにはIPが残る（監査のため意図的）</t>
        </is>
      </c>
    </row>
    <row r="10">
      <c r="A10" s="10" t="n">
        <v>9</v>
      </c>
      <c r="B10" s="11" t="inlineStr">
        <is>
          <t>メール</t>
        </is>
      </c>
      <c r="C10" s="11" t="inlineStr">
        <is>
          <t>ドメイン偽装（DMARC 未設定）</t>
        </is>
      </c>
      <c r="D10" s="11" t="inlineStr">
        <is>
          <t>第三者が funitclub.org を差出人に騙るメールを送れる</t>
        </is>
      </c>
      <c r="E10" s="16" t="inlineStr">
        <is>
          <t>対応済</t>
        </is>
      </c>
      <c r="F10" s="11" t="inlineStr">
        <is>
          <t>DMARC レコード（p=none）を追加。SPF・DKIM は設定済み</t>
        </is>
      </c>
      <c r="G10" s="11" t="inlineStr">
        <is>
          <t>DNS: _dmarc TXT</t>
        </is>
      </c>
      <c r="H10" s="11" t="inlineStr">
        <is>
          <t>p=quarantine → p=reject への引き上げは未実施（レポート確認後）</t>
        </is>
      </c>
    </row>
    <row r="11">
      <c r="A11" s="13" t="n">
        <v>10</v>
      </c>
      <c r="B11" s="14" t="inlineStr">
        <is>
          <t>認証情報</t>
        </is>
      </c>
      <c r="C11" s="14" t="inlineStr">
        <is>
          <t>Entra アプリの権限が広すぎる</t>
        </is>
      </c>
      <c r="D11" s="14" t="inlineStr">
        <is>
          <t>資格情報が漏れた場合、ACS の全操作が可能になる</t>
        </is>
      </c>
      <c r="E11" s="15" t="inlineStr">
        <is>
          <t>対応済</t>
        </is>
      </c>
      <c r="F11" s="14" t="inlineStr">
        <is>
          <t>組み込みロールを外し、カスタムロール「funITclub Email Sender」（3操作のみ）に縮小</t>
        </is>
      </c>
      <c r="G11" s="14" t="inlineStr">
        <is>
          <t>Azure RBAC（funitclub-comm スコープ）</t>
        </is>
      </c>
      <c r="H11" s="14" t="inlineStr">
        <is>
          <t>—</t>
        </is>
      </c>
    </row>
    <row r="12">
      <c r="A12" s="10" t="n">
        <v>11</v>
      </c>
      <c r="B12" s="11" t="inlineStr">
        <is>
          <t>認証情報</t>
        </is>
      </c>
      <c r="C12" s="11" t="inlineStr">
        <is>
          <t>SMTP のシークレットが平文で保存されている</t>
        </is>
      </c>
      <c r="D12" s="11" t="inlineStr">
        <is>
          <t>App Service 設定の閲覧権限を持つ人が値を取得できる</t>
        </is>
      </c>
      <c r="E12" s="16" t="inlineStr">
        <is>
          <t>対応済</t>
        </is>
      </c>
      <c r="F12" s="11" t="inlineStr">
        <is>
          <t>Azure Key Vault へ移行し、マネージドID（読み取りのみ）から参照</t>
        </is>
      </c>
      <c r="G12" s="11" t="inlineStr">
        <is>
          <t>Key Vault: funitclub-kv</t>
        </is>
      </c>
      <c r="H12" s="11" t="inlineStr">
        <is>
          <t>ローカル開発機の .env には平文が残る</t>
        </is>
      </c>
    </row>
    <row r="13">
      <c r="A13" s="13" t="n">
        <v>12</v>
      </c>
      <c r="B13" s="14" t="inlineStr">
        <is>
          <t>監視・通知</t>
        </is>
      </c>
      <c r="C13" s="14" t="inlineStr">
        <is>
          <t>シークレット失効（2028-08-19）に気づけない</t>
        </is>
      </c>
      <c r="D13" s="14" t="inlineStr">
        <is>
          <t>送信が静かに止まり、「申し込みが来ない」状態と区別がつかない</t>
        </is>
      </c>
      <c r="E13" s="15" t="inlineStr">
        <is>
          <t>対応済</t>
        </is>
      </c>
      <c r="F13" s="14" t="inlineStr">
        <is>
          <t>30日前・14日前・7日前・前日・失効後に管理者へ通知</t>
        </is>
      </c>
      <c r="G13" s="14" t="inlineStr">
        <is>
          <t>edit/checks.py</t>
        </is>
      </c>
      <c r="H13" s="14" t="inlineStr">
        <is>
          <t>メールが送れない状態では、この通知自体も届かない</t>
        </is>
      </c>
    </row>
    <row r="14">
      <c r="A14" s="10" t="n">
        <v>13</v>
      </c>
      <c r="B14" s="11" t="inlineStr">
        <is>
          <t>監視・通知</t>
        </is>
      </c>
      <c r="C14" s="11" t="inlineStr">
        <is>
          <t>500エラーが通知されない</t>
        </is>
      </c>
      <c r="D14" s="11" t="inlineStr">
        <is>
          <t>本番で障害が起きても誰も気づかない</t>
        </is>
      </c>
      <c r="E14" s="16" t="inlineStr">
        <is>
          <t>対応済</t>
        </is>
      </c>
      <c r="F14" s="11" t="inlineStr">
        <is>
          <t>管理者テーブル宛にエラーを送る通知ハンドラを追加</t>
        </is>
      </c>
      <c r="G14" s="11" t="inlineStr">
        <is>
          <t>edit/log_handlers.py</t>
        </is>
      </c>
      <c r="H14" s="11" t="inlineStr">
        <is>
          <t>本番設定のみ有効（開発環境では送らない）</t>
        </is>
      </c>
    </row>
    <row r="15">
      <c r="A15" s="13" t="n">
        <v>14</v>
      </c>
      <c r="B15" s="14" t="inlineStr">
        <is>
          <t>監視・通知</t>
        </is>
      </c>
      <c r="C15" s="14" t="inlineStr">
        <is>
          <t>編集画面へのログイン総当たりを検知していない</t>
        </is>
      </c>
      <c r="D15" s="14" t="inlineStr">
        <is>
          <t>管理権限の奪取を試みられても記録が残らない</t>
        </is>
      </c>
      <c r="E15" s="15" t="inlineStr">
        <is>
          <t>対応済</t>
        </is>
      </c>
      <c r="F15" s="14" t="inlineStr">
        <is>
          <t>同一IPで10分に5回失敗したら通知。ユーザー名は通知に載せない</t>
        </is>
      </c>
      <c r="G15" s="14" t="inlineStr">
        <is>
          <t>edit/signals.py</t>
        </is>
      </c>
      <c r="H15" s="14" t="inlineStr">
        <is>
          <t>遮断はしない（正規の運営が締め出されると復旧できないため）</t>
        </is>
      </c>
    </row>
    <row r="16">
      <c r="A16" s="10" t="n">
        <v>15</v>
      </c>
      <c r="B16" s="11" t="inlineStr">
        <is>
          <t>監視・通知</t>
        </is>
      </c>
      <c r="C16" s="11" t="inlineStr">
        <is>
          <t>通知の氾濫</t>
        </is>
      </c>
      <c r="D16" s="11" t="inlineStr">
        <is>
          <t>DB障害時にリクエストごとにエラー通知が飛び、受信箱が埋まる</t>
        </is>
      </c>
      <c r="E16" s="16" t="inlineStr">
        <is>
          <t>対応済</t>
        </is>
      </c>
      <c r="F16" s="11" t="inlineStr">
        <is>
          <t>通知の種類ごとに1時間あたりの上限を設定。抑制のログは warning 止まり</t>
        </is>
      </c>
      <c r="G16" s="11" t="inlineStr">
        <is>
          <t>edit/notify.py</t>
        </is>
      </c>
      <c r="H16" s="11" t="inlineStr">
        <is>
          <t>—</t>
        </is>
      </c>
    </row>
    <row r="17">
      <c r="A17" s="13" t="n">
        <v>16</v>
      </c>
      <c r="B17" s="14" t="inlineStr">
        <is>
          <t>個人情報</t>
        </is>
      </c>
      <c r="C17" s="14" t="inlineStr">
        <is>
          <t>管理者の大学アドレス（学籍番号）が公開ページに出る</t>
        </is>
      </c>
      <c r="D17" s="14" t="inlineStr">
        <is>
          <t>特定の学生の学籍番号がサイトと紐づいて恒久的に公開される</t>
        </is>
      </c>
      <c r="E17" s="15" t="inlineStr">
        <is>
          <t>対応済</t>
        </is>
      </c>
      <c r="F17" s="14" t="inlineStr">
        <is>
          <t>役割アドレス contact@funitclub.org に切替。参照先を管理者テーブルへ集約し、テンプレートにアドレスを書かない</t>
        </is>
      </c>
      <c r="G17" s="14" t="inlineStr">
        <is>
          <t>edit/models.py / edit/migrations/0003</t>
        </is>
      </c>
      <c r="H17" s="14" t="inlineStr">
        <is>
          <t>転送は外部サービス（ImprovMX 無料枠）に依存</t>
        </is>
      </c>
    </row>
    <row r="18">
      <c r="A18" s="10" t="n">
        <v>17</v>
      </c>
      <c r="B18" s="11" t="inlineStr">
        <is>
          <t>アクセス制御</t>
        </is>
      </c>
      <c r="C18" s="11" t="inlineStr">
        <is>
          <t>検知カウンタの取りこぼし</t>
        </is>
      </c>
      <c r="D18" s="11" t="inlineStr">
        <is>
          <t>worker ごとに別勘定になり、再起動でも消えて検知漏れする</t>
        </is>
      </c>
      <c r="E18" s="16" t="inlineStr">
        <is>
          <t>対応済</t>
        </is>
      </c>
      <c r="F18" s="11" t="inlineStr">
        <is>
          <t>ローカルメモリから DB キャッシュへ変更</t>
        </is>
      </c>
      <c r="G18" s="11" t="inlineStr">
        <is>
          <t>config/settings_common.py CACHES</t>
        </is>
      </c>
      <c r="H18" s="11" t="inlineStr">
        <is>
          <t>デプロイ後に createcachetable の実行が必要</t>
        </is>
      </c>
    </row>
    <row r="19">
      <c r="A19" s="13" t="n">
        <v>18</v>
      </c>
      <c r="B19" s="14" t="inlineStr">
        <is>
          <t>アクセス制御</t>
        </is>
      </c>
      <c r="C19" s="14" t="inlineStr">
        <is>
          <t>遮断中は静的ファイルも403になり画面が崩れる</t>
        </is>
      </c>
      <c r="D19" s="14" t="inlineStr">
        <is>
          <t>遮断された人に理由と連絡先が伝わらない</t>
        </is>
      </c>
      <c r="E19" s="15" t="inlineStr">
        <is>
          <t>対応済</t>
        </is>
      </c>
      <c r="F19" s="14" t="inlineStr">
        <is>
          <t>CSSを埋め込んだ自己完結の403ページを用意</t>
        </is>
      </c>
      <c r="G19" s="14" t="inlineStr">
        <is>
          <t>home/templates/home/blocked.html</t>
        </is>
      </c>
      <c r="H19" s="14" t="inlineStr">
        <is>
          <t>—</t>
        </is>
      </c>
    </row>
    <row r="20">
      <c r="A20" s="10" t="n">
        <v>19</v>
      </c>
      <c r="B20" s="11" t="inlineStr">
        <is>
          <t>運用</t>
        </is>
      </c>
      <c r="C20" s="11" t="inlineStr">
        <is>
          <t>対策の方針を利用者に示していない</t>
        </is>
      </c>
      <c r="D20" s="11" t="inlineStr">
        <is>
          <t>制限に遭った人が理由を理解できず、問い合わせもできない</t>
        </is>
      </c>
      <c r="E20" s="16" t="inlineStr">
        <is>
          <t>対応済</t>
        </is>
      </c>
      <c r="F20" s="11" t="inlineStr">
        <is>
          <t>申し込みページに情報の扱いとアクセス制限の方針を掲示（閾値・期間は非公開）</t>
        </is>
      </c>
      <c r="G20" s="11" t="inlineStr">
        <is>
          <t>home/templates/home/join_apply.html</t>
        </is>
      </c>
      <c r="H20" s="11" t="inlineStr">
        <is>
          <t>—</t>
        </is>
      </c>
    </row>
    <row r="21">
      <c r="A21" s="10" t="n">
        <v>20</v>
      </c>
      <c r="B21" s="11" t="inlineStr">
        <is>
          <t>WG への参加</t>
        </is>
      </c>
      <c r="C21" s="11" t="inlineStr">
        <is>
          <t>他人のアドレスで、その人がクラブのメンバーかを探られる</t>
        </is>
      </c>
      <c r="D21" s="11" t="inlineStr">
        <is>
          <t>名簿にいるかどうかが第三者に分かる</t>
        </is>
      </c>
      <c r="E21" s="16" t="inlineStr">
        <is>
          <t>対応済</t>
        </is>
      </c>
      <c r="F21" s="11" t="inlineStr">
        <is>
          <t>メンバーでもそうでなくても、画面は同じ「メールを送りました」。結果は本人あてのメールにだけ書く</t>
        </is>
      </c>
      <c r="G21" s="11" t="inlineStr">
        <is>
          <t>wgjoin/views.py</t>
        </is>
      </c>
      <c r="H21" s="11" t="inlineStr">
        <is>
          <t>—</t>
        </is>
      </c>
    </row>
    <row r="22">
      <c r="A22" s="10" t="n">
        <v>21</v>
      </c>
      <c r="B22" s="11" t="inlineStr">
        <is>
          <t>WG への参加</t>
        </is>
      </c>
      <c r="C22" s="11" t="inlineStr">
        <is>
          <t>本人以外が、他人を WG（Chat・GitHub）に参加させる</t>
        </is>
      </c>
      <c r="D22" s="11" t="inlineStr">
        <is>
          <t>本人の知らないうちにスペースやチームに入れられる</t>
        </is>
      </c>
      <c r="E22" s="16" t="inlineStr">
        <is>
          <t>対応済</t>
        </is>
      </c>
      <c r="F22" s="11" t="inlineStr">
        <is>
          <t>確認のメールのリンクを開いてボタンを押したときだけ追加する（開いただけでは追加しない）。リンクは署名付き・使い捨て・期限1時間（WG_JOIN_LINK_MAX_AGE）</t>
        </is>
      </c>
      <c r="G22" s="11" t="inlineStr">
        <is>
          <t>wgjoin/verify.py / wgjoin/views.py</t>
        </is>
      </c>
      <c r="H22" s="11" t="inlineStr">
        <is>
          <t>メールの受信箱を読める人なら手続きを進められる</t>
        </is>
      </c>
    </row>
    <row r="23">
      <c r="A23" s="10" t="n">
        <v>22</v>
      </c>
      <c r="B23" s="11" t="inlineStr">
        <is>
          <t>個人情報</t>
        </is>
      </c>
      <c r="C23" s="11" t="inlineStr">
        <is>
          <t>確認のリンクやアクセスログ、Cookie に大学のアドレスが残る</t>
        </is>
      </c>
      <c r="D23" s="11" t="inlineStr">
        <is>
          <t>ログの閲覧者や端末の共用者に学籍番号が見える</t>
        </is>
      </c>
      <c r="E23" s="16" t="inlineStr">
        <is>
          <t>対応済</t>
        </is>
      </c>
      <c r="F23" s="11" t="inlineStr">
        <is>
          <t>リンクに入れるアドレスと、最後の画面までブラウザに預けるアドレス（Cookie wgjoin_address、HttpOnly・1時間）は SECRET_KEY から作った鍵で暗号化する。DB・セッション・ログには残さない</t>
        </is>
      </c>
      <c r="G23" s="11" t="inlineStr">
        <is>
          <t>wgjoin/verify.py / wgjoin/views.py</t>
        </is>
      </c>
      <c r="H23" s="11" t="inlineStr">
        <is>
          <t>SECRET_KEY が漏れると読める</t>
        </is>
      </c>
    </row>
    <row r="24">
      <c r="A24" s="10" t="n">
        <v>23</v>
      </c>
      <c r="B24" s="11" t="inlineStr">
        <is>
          <t>フォーム悪用</t>
        </is>
      </c>
      <c r="C24" s="11" t="inlineStr">
        <is>
          <t>WG への参加の確認メールの送りすぎ</t>
        </is>
      </c>
      <c r="D24" s="11" t="inlineStr">
        <is>
          <t>第三者あてにメールを繰り返し送らせられる</t>
        </is>
      </c>
      <c r="E24" s="16" t="inlineStr">
        <is>
          <t>対応済</t>
        </is>
      </c>
      <c r="F24" s="11" t="inlineStr">
        <is>
          <t>同じ IP は1時間に10件、同じアドレスは1時間に3件まで（WG_JOIN_SEND_LIMITS）。超えたら送らずに断る。アドレスは鍵付きハッシュにして数える。IP の遮断はしない（構内の回線は共有のため）</t>
        </is>
      </c>
      <c r="G24" s="11" t="inlineStr">
        <is>
          <t>wgjoin/verify.py / config/settings_common.py</t>
        </is>
      </c>
      <c r="H24" s="11" t="inlineStr">
        <is>
          <t>IP とアドレスの両方を変えれば別勘定になる</t>
        </is>
      </c>
    </row>
    <row r="25">
      <c r="A25" s="10" t="n">
        <v>24</v>
      </c>
      <c r="B25" s="11" t="inlineStr">
        <is>
          <t>認証情報</t>
        </is>
      </c>
      <c r="C25" s="11" t="inlineStr">
        <is>
          <t>GitHub App（funitclub-wg-join）が org 全体のメンバーを変えられる</t>
        </is>
      </c>
      <c r="D25" s="11" t="inlineStr">
        <is>
          <t>不具合や悪用で、運営のチームや org の権限を書き換えられる</t>
        </is>
      </c>
      <c r="E25" s="16" t="inlineStr">
        <is>
          <t>一部対応</t>
        </is>
      </c>
      <c r="F25" s="11" t="inlineStr">
        <is>
          <t>追加できるチームを wg- で始まる名前に限る。すでにいる人はそのまま（maintainer を member に下げない）。GitHub のユーザー名とトークンはその場で使って捨て、ログにも出さない</t>
        </is>
      </c>
      <c r="G25" s="11" t="inlineStr">
        <is>
          <t>wgjoin/links.py / wgjoin/github.py</t>
        </is>
      </c>
      <c r="H25" s="11" t="inlineStr">
        <is>
          <t>App の権限（Members: Read and write）自体は org 全体に及ぶ</t>
        </is>
      </c>
    </row>
    <row r="26">
      <c r="A26" s="10" t="n">
        <v>25</v>
      </c>
      <c r="B26" s="11" t="inlineStr">
        <is>
          <t>認証情報</t>
        </is>
      </c>
      <c r="C26" s="11" t="inlineStr">
        <is>
          <t>運営（クラスの先生）の Google の許可（リフレッシュトークン）</t>
        </is>
      </c>
      <c r="D26" s="11" t="inlineStr">
        <is>
          <t>漏れると名簿の管理と Chat のメンバー管理を運営の権限で行える</t>
        </is>
      </c>
      <c r="E26" s="16" t="inlineStr">
        <is>
          <t>対応済</t>
        </is>
      </c>
      <c r="F26" s="11" t="inlineStr">
        <is>
          <t>スコープは classroom.rosters と chat.memberships だけ。トークンは Key Vault に置く。名簿はアドレスで1人ずつ引き、一覧は取らない</t>
        </is>
      </c>
      <c r="G26" s="11" t="inlineStr">
        <is>
          <t>wgjoin/google.py / Key Vault: funitclub-kv</t>
        </is>
      </c>
      <c r="H26" s="11" t="inlineStr">
        <is>
          <t>運営が替わったら取り直す。チャットやリポジトリに貼らない</t>
        </is>
      </c>
    </row>
    <row r="27">
      <c r="A27" s="10" t="n">
        <v>26</v>
      </c>
      <c r="B27" s="11" t="inlineStr">
        <is>
          <t>監視・通知</t>
        </is>
      </c>
      <c r="C27" s="11" t="inlineStr">
        <is>
          <t>Google の許可が切れたときに全員を「メンバーでない」と扱う</t>
        </is>
      </c>
      <c r="D27" s="11" t="inlineStr">
        <is>
          <t>正規のメンバーが参加できず、原因にも気づけない</t>
        </is>
      </c>
      <c r="E27" s="16" t="inlineStr">
        <is>
          <t>対応済</t>
        </is>
      </c>
      <c r="F27" s="11" t="inlineStr">
        <is>
          <t>名簿を引けないときは「名簿を確かめられませんでした」を ERROR で記録し管理者に通知する。Chat に追加できなかったときも、Google が返した status・reason を添えて通知する</t>
        </is>
      </c>
      <c r="G27" s="11" t="inlineStr">
        <is>
          <t>wgjoin/views.py / wgjoin/google.py</t>
        </is>
      </c>
      <c r="H27" s="11" t="inlineStr">
        <is>
          <t>通知に載せるのは決まった値だけ（アドレスの入りうる message は載せない）</t>
        </is>
      </c>
    </row>
    <row r="28">
      <c r="A28" s="10" t="n">
        <v>27</v>
      </c>
      <c r="B28" s="11" t="inlineStr">
        <is>
          <t>フォーム悪用</t>
        </is>
      </c>
      <c r="C28" s="11" t="inlineStr">
        <is>
          <t>参加の申し込みで、他人のアドレスをクラブのクラスに招待させる</t>
        </is>
      </c>
      <c r="D28" s="11" t="inlineStr">
        <is>
          <t>第三者に Classroom の招待メールが届く</t>
        </is>
      </c>
      <c r="E28" s="16" t="inlineStr">
        <is>
          <t>一部対応</t>
        </is>
      </c>
      <c r="F28" s="11" t="inlineStr">
        <is>
          <t>もうクラスにいる人には招待しない。招待は運営の承認なしに送るが、本人が「参加」を押さない限りクラスには入らない。送りすぎは参加フォームの連続送信の遮断（No.4）で止まる</t>
        </is>
      </c>
      <c r="G28" s="11" t="inlineStr">
        <is>
          <t>home/views.py / wgjoin/google.py</t>
        </is>
      </c>
      <c r="H28" s="11" t="inlineStr">
        <is>
          <t>招待メールそのものは届く</t>
        </is>
      </c>
    </row>
    <row r="29">
      <c r="A29" s="10" t="n">
        <v>28</v>
      </c>
      <c r="B29" s="11" t="inlineStr">
        <is>
          <t>個人情報</t>
        </is>
      </c>
      <c r="C29" s="11" t="inlineStr">
        <is>
          <t>countdown の通知先アドレスを DB に持つ（個人情報を持たない方針の例外）</t>
        </is>
      </c>
      <c r="D29" s="11" t="inlineStr">
        <is>
          <t>DB が漏れると通知先が読める。ID を知っている人が通知を止めたり差し替えたりできる</t>
        </is>
      </c>
      <c r="E29" s="16" t="inlineStr">
        <is>
          <t>対応済</t>
        </is>
      </c>
      <c r="F29" s="11" t="inlineStr">
        <is>
          <t>SECRET_KEY から作った鍵で暗号化して保存し、管理画面にも出さない（登録の有無だけ）。登録は確認のメールのリンクを開いたときだけ。解除と変更は登録したアドレスに届くリンクからだけ</t>
        </is>
      </c>
      <c r="G29" s="11" t="inlineStr">
        <is>
          <t>works/countdown/crypto.py / works/countdown/views.py</t>
        </is>
      </c>
      <c r="H29" s="11" t="inlineStr">
        <is>
          <t>SECRET_KEY を替えるときは、前の値を環境変数 SECRET_KEY_FALLBACKS に残す（残さないと全員が未登録の扱い。通知先は暗号化し直さないので、消さずに残す）</t>
        </is>
      </c>
    </row>
    <row r="30">
      <c r="A30" s="10" t="n">
        <v>29</v>
      </c>
      <c r="B30" s="11" t="inlineStr">
        <is>
          <t>アクセス制御</t>
        </is>
      </c>
      <c r="C30" s="11" t="inlineStr">
        <is>
          <t>countdown の定時送信の入口（/countdown/notify/run/）を外から叩かれる</t>
        </is>
      </c>
      <c r="D30" s="11" t="inlineStr">
        <is>
          <t>通知を何度も送らせられる</t>
        </is>
      </c>
      <c r="E30" s="16" t="inlineStr">
        <is>
          <t>対応済</t>
        </is>
      </c>
      <c r="F30" s="11" t="inlineStr">
        <is>
          <t>合言葉（COUNTDOWN_NOTIFY_TOKEN）を Bearer で照合する（compare_digest）。未設定・不一致は 404。同じ日に何度呼んでも、同じ ID には1通しか送らない</t>
        </is>
      </c>
      <c r="G30" s="11" t="inlineStr">
        <is>
          <t>works/countdown/views.py</t>
        </is>
      </c>
      <c r="H30" s="11" t="inlineStr">
        <is>
          <t>—</t>
        </is>
      </c>
    </row>
    <row r="31">
      <c r="A31" s="10" t="n">
        <v>30</v>
      </c>
      <c r="B31" s="11" t="inlineStr">
        <is>
          <t>アクセス制御</t>
        </is>
      </c>
      <c r="C31" s="11" t="inlineStr">
        <is>
          <t>FE 対策アプリの問題集の管理（/fe/manage/）を、管理用の ID を言い当てて開かれる</t>
        </is>
      </c>
      <c r="D31" s="11" t="inlineStr">
        <is>
          <t>全員の問題集を差し替えられる（解答ログも消える）</t>
        </is>
      </c>
      <c r="E31" s="16" t="inlineStr">
        <is>
          <t>対応済</t>
        </is>
      </c>
      <c r="F31" s="11" t="inlineStr">
        <is>
          <t>管理用の ID に加えて、編集画面へのログイン（is_staff）を要る条件にした</t>
        </is>
      </c>
      <c r="G31" s="11" t="inlineStr">
        <is>
          <t>works/fe/views.py AdminRequiredMixin</t>
        </is>
      </c>
      <c r="H31" s="11" t="inlineStr">
        <is>
          <t>ID には合言葉が無い（成績を見られる・書かれる余地は残る）</t>
        </is>
      </c>
    </row>
    <row r="32">
      <c r="A32" s="10" t="n">
        <v>31</v>
      </c>
      <c r="B32" s="11" t="inlineStr">
        <is>
          <t>情報漏えい</t>
        </is>
      </c>
      <c r="C32" s="11" t="inlineStr">
        <is>
          <t>非公開の WG のソースが、公開の homepage に入る</t>
        </is>
      </c>
      <c r="D32" s="11" t="inlineStr">
        <is>
          <t>WG のリポジトリを非公開にしていても、ソースが公開される</t>
        </is>
      </c>
      <c r="E32" s="16" t="inlineStr">
        <is>
          <t>対応済</t>
        </is>
      </c>
      <c r="F32" s="11" t="inlineStr">
        <is>
          <t>WG のアプリは homepage にコミットせず、デプロイのときだけ取り込む（wg-apps.yml）。読み取りは Contents: Read だけの GitHub App の短命トークン</t>
        </is>
      </c>
      <c r="G32" s="11" t="inlineStr">
        <is>
          <t>.github/workflows/deploy.yml / wg-apps.yml</t>
        </is>
      </c>
      <c r="H32" s="11" t="inlineStr">
        <is>
          <t>デプロイの zip（Actions の成果物、30日）には WG のソースが入る</t>
        </is>
      </c>
    </row>
    <row r="33">
      <c r="A33" s="10" t="n">
        <v>32</v>
      </c>
      <c r="B33" s="11" t="inlineStr">
        <is>
          <t>認証情報</t>
        </is>
      </c>
      <c r="C33" s="11" t="inlineStr">
        <is>
          <t>WG のリポジトリから homepage を書き換えられる</t>
        </is>
      </c>
      <c r="D33" s="11" t="inlineStr">
        <is>
          <t>WG のメンバーが触れる資格情報で、本番のコードを差し替えられる</t>
        </is>
      </c>
      <c r="E33" s="16" t="inlineStr">
        <is>
          <t>対応済</t>
        </is>
      </c>
      <c r="F33" s="11" t="inlineStr">
        <is>
          <t>WG 側に置く App の権限は homepage の Actions: Write（デプロイの起動）だけ。Contents: Write は付けない</t>
        </is>
      </c>
      <c r="G33" s="11" t="inlineStr">
        <is>
          <t>GitHub App funitclub-wg-deploy</t>
        </is>
      </c>
      <c r="H33" s="11" t="inlineStr">
        <is>
          <t>デプロイを起動することはできる（中身は homepage の main と wg-apps.yml のまま）</t>
        </is>
      </c>
    </row>
    <row r="34">
      <c r="A34" s="10" t="n">
        <v>33</v>
      </c>
      <c r="B34" s="11" t="inlineStr">
        <is>
          <t>認証情報</t>
        </is>
      </c>
      <c r="C34" s="11" t="inlineStr">
        <is>
          <t>GitHub Actions から Azure へのデプロイの資格情報</t>
        </is>
      </c>
      <c r="D34" s="11" t="inlineStr">
        <is>
          <t>漏れると App Service や同じリソースグループの DB・Key Vault を操作される</t>
        </is>
      </c>
      <c r="E34" s="16" t="inlineStr">
        <is>
          <t>対応済</t>
        </is>
      </c>
      <c r="F34" s="11" t="inlineStr">
        <is>
          <t>パスワード・発行プロファイルは使わず OIDC。main ブランチの ID 入りのサブジェクトだけを信頼し、ロールは App Service funITclub スコープの Web サイト共同作成者だけ。SCM の基本認証はオフ</t>
        </is>
      </c>
      <c r="G34" s="11" t="inlineStr">
        <is>
          <t>マネージド ID funitclub-github-deploy</t>
        </is>
      </c>
      <c r="H34" s="11" t="inlineStr">
        <is>
          <t>—</t>
        </is>
      </c>
    </row>
    <row r="35">
      <c r="A35" s="10" t="n">
        <v>34</v>
      </c>
      <c r="B35" s="11" t="inlineStr">
        <is>
          <t>運用</t>
        </is>
      </c>
      <c r="C35" s="11" t="inlineStr">
        <is>
          <t>壊れたまま本番に出る（B1 で検証スロットが無い）</t>
        </is>
      </c>
      <c r="D35" s="11" t="inlineStr">
        <is>
          <t>migrate の失敗などでサイトが落ちたままになる</t>
        </is>
      </c>
      <c r="E35" s="16" t="inlineStr">
        <is>
          <t>対応済</t>
        </is>
      </c>
      <c r="F35" s="11" t="inlineStr">
        <is>
          <t>出す前にテストと使い捨て PostgreSQL への migrate、出した後に応答を確かめ、返らなければ直前の zip に戻す</t>
        </is>
      </c>
      <c r="G35" s="11" t="inlineStr">
        <is>
          <t>.github/workflows/test.yml / deploy.yml</t>
        </is>
      </c>
      <c r="H35" s="11" t="inlineStr">
        <is>
          <t>WG のアプリ自身のテストは流さない（WG のリポジトリの CI の仕事）</t>
        </is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10" customWidth="1" min="4" max="4"/>
    <col width="52" customWidth="1" min="5" max="5"/>
  </cols>
  <sheetData>
    <row r="1" ht="32" customHeight="1">
      <c r="A1" s="17" t="inlineStr">
        <is>
          <t>No</t>
        </is>
      </c>
      <c r="B1" s="17" t="inlineStr">
        <is>
          <t>項目</t>
        </is>
      </c>
      <c r="C1" s="17" t="inlineStr">
        <is>
          <t>内容</t>
        </is>
      </c>
      <c r="D1" s="17" t="inlineStr">
        <is>
          <t>判断</t>
        </is>
      </c>
      <c r="E1" s="17" t="inlineStr">
        <is>
          <t>理由</t>
        </is>
      </c>
    </row>
    <row r="2">
      <c r="A2" s="10" t="n">
        <v>1</v>
      </c>
      <c r="B2" s="11" t="inlineStr">
        <is>
          <t>ボット対策（CAPTCHA / honeypot）</t>
        </is>
      </c>
      <c r="C2" s="11" t="inlineStr">
        <is>
          <t>フォームへの自動投稿を機械的に判別する</t>
        </is>
      </c>
      <c r="D2" s="10" t="inlineStr">
        <is>
          <t>見送り</t>
        </is>
      </c>
      <c r="E2" s="11" t="inlineStr">
        <is>
          <t>レート制限とIP遮断で代替。正規の利用者の手間を増やしたくない</t>
        </is>
      </c>
    </row>
    <row r="3">
      <c r="A3" s="13" t="n">
        <v>2</v>
      </c>
      <c r="B3" s="14" t="inlineStr">
        <is>
          <t>Azure Monitor による監視</t>
        </is>
      </c>
      <c r="C3" s="14" t="inlineStr">
        <is>
          <t>アラートルール、アクション グループ、ログの長期保存</t>
        </is>
      </c>
      <c r="D3" s="13" t="inlineStr">
        <is>
          <t>見送り</t>
        </is>
      </c>
      <c r="E3" s="14" t="inlineStr">
        <is>
          <t>利用者10人規模に対して過剰。月額費用と、読まれないアラートが増える</t>
        </is>
      </c>
    </row>
    <row r="4">
      <c r="A4" s="10" t="n">
        <v>3</v>
      </c>
      <c r="B4" s="11" t="inlineStr">
        <is>
          <t>DMARC の強化（p=quarantine → reject）</t>
        </is>
      </c>
      <c r="C4" s="11" t="inlineStr">
        <is>
          <t>騙りメールを受信側で拒否させる</t>
        </is>
      </c>
      <c r="D4" s="10" t="inlineStr">
        <is>
          <t>保留</t>
        </is>
      </c>
      <c r="E4" s="11" t="inlineStr">
        <is>
          <t>まず p=none でレポートを収集し、正規の送信が誤検知されないと確認してから</t>
        </is>
      </c>
    </row>
    <row r="5">
      <c r="A5" s="13" t="n">
        <v>4</v>
      </c>
      <c r="B5" s="14" t="inlineStr">
        <is>
          <t>申込者の本人確認</t>
        </is>
      </c>
      <c r="C5" s="14" t="inlineStr">
        <is>
          <t>確認リンクを踏ませてから受け付ける方式</t>
        </is>
      </c>
      <c r="D5" s="13" t="inlineStr">
        <is>
          <t>見送り</t>
        </is>
      </c>
      <c r="E5" s="14" t="inlineStr">
        <is>
          <t>なりすましは防げるが、申し込みの手間が増える。WG への参加は確認リンク方式にした（対応一覧 No.21）。申し込みは招待だけで、本人が参加を押さない限り入らないので見送りのまま</t>
        </is>
      </c>
    </row>
    <row r="6">
      <c r="A6" s="10" t="n">
        <v>5</v>
      </c>
      <c r="B6" s="11" t="inlineStr">
        <is>
          <t>ローカル .env の平文</t>
        </is>
      </c>
      <c r="C6" s="11" t="inlineStr">
        <is>
          <t>開発機に SMTP のシークレットが平文で残る</t>
        </is>
      </c>
      <c r="D6" s="10" t="inlineStr">
        <is>
          <t>許容</t>
        </is>
      </c>
      <c r="E6" s="11" t="inlineStr">
        <is>
          <t>端末の管理に委ねる。気になる場合は .env を削除すればコンソール出力に戻る</t>
        </is>
      </c>
    </row>
    <row r="7">
      <c r="A7" s="13" t="n">
        <v>6</v>
      </c>
      <c r="B7" s="14" t="inlineStr">
        <is>
          <t>ACS 障害の検知</t>
        </is>
      </c>
      <c r="C7" s="14" t="inlineStr">
        <is>
          <t>送信サービス側の障害・送信停止を検知する</t>
        </is>
      </c>
      <c r="D7" s="13" t="inlineStr">
        <is>
          <t>未対応</t>
        </is>
      </c>
      <c r="E7" s="14" t="inlineStr">
        <is>
          <t>メール経路に依存しない監視（Azure Monitor）が必要。上記2の判断による</t>
        </is>
      </c>
    </row>
    <row r="8">
      <c r="A8" s="10" t="n">
        <v>7</v>
      </c>
      <c r="B8" s="11" t="inlineStr">
        <is>
          <t>返信時の差出人</t>
        </is>
      </c>
      <c r="C8" s="11" t="inlineStr">
        <is>
          <t>問い合わせに返信すると差出人が大学アドレスになる</t>
        </is>
      </c>
      <c r="D8" s="10" t="inlineStr">
        <is>
          <t>許容</t>
        </is>
      </c>
      <c r="E8" s="11" t="inlineStr">
        <is>
          <t>ImprovMX 無料枠に送信機能が無いため。相手には学籍番号が伝わる</t>
        </is>
      </c>
    </row>
    <row r="9">
      <c r="A9" s="10" t="n">
        <v>8</v>
      </c>
      <c r="B9" s="11" t="inlineStr">
        <is>
          <t>GitHub App の org 全体の権限</t>
        </is>
      </c>
      <c r="C9" s="11" t="inlineStr">
        <is>
          <t>Members の権限をチーム単位に絞る</t>
        </is>
      </c>
      <c r="D9" s="10" t="inlineStr">
        <is>
          <t>許容</t>
        </is>
      </c>
      <c r="E9" s="11" t="inlineStr">
        <is>
          <t>GitHub App の権限にチーム単位の指定が無い。コード側で wg- のチームに限っている（対応一覧 No.24）</t>
        </is>
      </c>
    </row>
    <row r="10">
      <c r="A10" s="10" t="n">
        <v>9</v>
      </c>
      <c r="B10" s="11" t="inlineStr">
        <is>
          <t>サブアプリの通行証（/works/・/wg/ から辿ったときだけ開く）</t>
        </is>
      </c>
      <c r="C10" s="11" t="inlineStr">
        <is>
          <t>直打ちで開けないようにする仕組み</t>
        </is>
      </c>
      <c r="D10" s="10" t="inlineStr">
        <is>
          <t>許容</t>
        </is>
      </c>
      <c r="E10" s="11" t="inlineStr">
        <is>
          <t>導線の仕掛けで、守りではない。一度入った人のその後は縛らず、Referer も見ない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8" customWidth="1" min="3" max="3"/>
  </cols>
  <sheetData>
    <row r="1" ht="32" customHeight="1">
      <c r="A1" s="17" t="inlineStr">
        <is>
          <t>No</t>
        </is>
      </c>
      <c r="B1" s="17" t="inlineStr">
        <is>
          <t>観点</t>
        </is>
      </c>
      <c r="C1" s="17" t="inlineStr">
        <is>
          <t>確認結果</t>
        </is>
      </c>
    </row>
    <row r="2">
      <c r="A2" s="10" t="n">
        <v>1</v>
      </c>
      <c r="B2" s="11" t="inlineStr">
        <is>
          <t>CSRF</t>
        </is>
      </c>
      <c r="C2" s="11" t="inlineStr">
        <is>
          <t>トークンあり。本番は CSRF_COOKIE_SECURE も有効</t>
        </is>
      </c>
    </row>
    <row r="3">
      <c r="A3" s="13" t="n">
        <v>2</v>
      </c>
      <c r="B3" s="14" t="inlineStr">
        <is>
          <t>XSS</t>
        </is>
      </c>
      <c r="C3" s="14" t="inlineStr">
        <is>
          <t>フォームの入力はプレーンテキストのメールにのみ使用。DBにも保存しない</t>
        </is>
      </c>
    </row>
    <row r="4">
      <c r="A4" s="10" t="n">
        <v>3</v>
      </c>
      <c r="B4" s="11" t="inlineStr">
        <is>
          <t>SQLインジェクション</t>
        </is>
      </c>
      <c r="C4" s="11" t="inlineStr">
        <is>
          <t>フォームはDBに書き込まない。ORM経由のみ</t>
        </is>
      </c>
    </row>
    <row r="5">
      <c r="A5" s="13" t="n">
        <v>4</v>
      </c>
      <c r="B5" s="14" t="inlineStr">
        <is>
          <t>DEBUG設定</t>
        </is>
      </c>
      <c r="C5" s="14" t="inlineStr">
        <is>
          <t>本番は既定 False。環境変数で一時的にのみ有効化</t>
        </is>
      </c>
    </row>
    <row r="6">
      <c r="A6" s="10" t="n">
        <v>5</v>
      </c>
      <c r="B6" s="11" t="inlineStr">
        <is>
          <t>ヘッダインジェクション</t>
        </is>
      </c>
      <c r="C6" s="11" t="inlineStr">
        <is>
          <t>Django が改行を含むヘッダを拒否（対応一覧 No.7 は例外処理の追加）</t>
        </is>
      </c>
    </row>
    <row r="7">
      <c r="A7" s="13" t="n">
        <v>6</v>
      </c>
      <c r="B7" s="14" t="inlineStr">
        <is>
          <t>管理画面の保護</t>
        </is>
      </c>
      <c r="C7" s="14" t="inlineStr">
        <is>
          <t>LoginRequiredMiddleware で全ビューが既定ログイン必須。公開ページ・WG への参加・ログイン不要のサブアプリ（countdown・fe）だけ明示的に除外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2026-08-20T06:48:26Z</dcterms:created>
  <dcterms:modified xsi:type="dcterms:W3CDTF">2026-10-21T00:39:49Z</dcterms:modified>
</cp:coreProperties>
</file>